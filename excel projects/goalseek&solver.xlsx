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ocuments\"/>
    </mc:Choice>
  </mc:AlternateContent>
  <xr:revisionPtr revIDLastSave="0" documentId="8_{B3490AC9-A467-4CB8-ABC7-6C5E2716D272}" xr6:coauthVersionLast="47" xr6:coauthVersionMax="47" xr10:uidLastSave="{00000000-0000-0000-0000-000000000000}"/>
  <bookViews>
    <workbookView xWindow="-120" yWindow="-120" windowWidth="20730" windowHeight="11040" xr2:uid="{828A1200-9CB7-4652-B035-FB2829CB6CB7}"/>
  </bookViews>
  <sheets>
    <sheet name="Sheet1" sheetId="1" r:id="rId1"/>
  </sheets>
  <definedNames>
    <definedName name="solver_adj" localSheetId="0" hidden="1">Sheet1!$B$7:$B$8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Sheet1!$B$7</definedName>
    <definedName name="solver_lhs2" localSheetId="0" hidden="1">Sheet1!$B$8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Sheet1!$E$13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Sheet1!$B$15</definedName>
    <definedName name="solver_rhs2" localSheetId="0" hidden="1">Sheet1!$B$16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100000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8" i="1"/>
  <c r="E7" i="1"/>
  <c r="E9" i="1" l="1"/>
  <c r="E11" i="1" s="1"/>
  <c r="E12" i="1" s="1"/>
  <c r="E13" i="1" s="1"/>
</calcChain>
</file>

<file path=xl/sharedStrings.xml><?xml version="1.0" encoding="utf-8"?>
<sst xmlns="http://schemas.openxmlformats.org/spreadsheetml/2006/main" count="19" uniqueCount="17">
  <si>
    <t xml:space="preserve"> goal seek</t>
  </si>
  <si>
    <t xml:space="preserve">       Assumptions</t>
  </si>
  <si>
    <t>unit sold</t>
  </si>
  <si>
    <t>price per unit</t>
  </si>
  <si>
    <t>cost per unit</t>
  </si>
  <si>
    <t>G&amp;A</t>
  </si>
  <si>
    <t xml:space="preserve">tax rate </t>
  </si>
  <si>
    <t>Income statement</t>
  </si>
  <si>
    <t>Revenue</t>
  </si>
  <si>
    <t>COGS</t>
  </si>
  <si>
    <t>Gross profit</t>
  </si>
  <si>
    <t>Earnings before tax</t>
  </si>
  <si>
    <t xml:space="preserve">Net income </t>
  </si>
  <si>
    <t>Taxes</t>
  </si>
  <si>
    <t>Constrints</t>
  </si>
  <si>
    <t>Net income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</si>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</sst>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3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3" fontId="0" fillId="4" borderId="0" xfId="0" applyNumberFormat="1" applyFill="1"/>
    <xf numFmtId="0" fontId="2" fillId="3" borderId="0" xfId="0" applyFont="1" applyFill="1" applyAlignment="1">
      <alignment horizontal="center"/>
    </xf>
    <xf numFmtId="0" fontId="4" fillId="0" borderId="0" xfId="0" applyFont="1"/>
    <xf numFmtId="3" fontId="4" fillId="0" borderId="0" xfId="0" applyNumberFormat="1" applyFont="1"/>
    <xf numFmtId="9" fontId="4" fillId="0" borderId="0" xfId="0" applyNumberFormat="1" applyFont="1"/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ADCF68-3A3D-44AB-A7C3-49C2E67F6409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3336-4DC7-4B3A-A939-2C61CDBFB465}">
  <dimension ref="A1:F16"/>
  <sheetViews>
    <sheetView showGridLines="0" tabSelected="1" workbookViewId="0">
      <selection activeCell="A17" sqref="A17"/>
    </sheetView>
  </sheetViews>
  <sheetFormatPr defaultRowHeight="15" x14ac:dyDescent="0.25"/>
  <cols>
    <col min="1" max="1" width="21.140625" customWidth="1"/>
    <col min="4" max="4" width="26.7109375" customWidth="1"/>
    <col min="5" max="5" width="12.42578125" bestFit="1" customWidth="1"/>
  </cols>
  <sheetData>
    <row r="1" spans="1:6" x14ac:dyDescent="0.25">
      <c r="B1" s="4"/>
      <c r="C1" s="11" t="s">
        <v>0</v>
      </c>
      <c r="D1" s="11"/>
      <c r="E1" s="11"/>
      <c r="F1" s="4"/>
    </row>
    <row r="4" spans="1:6" x14ac:dyDescent="0.25">
      <c r="A4" s="1"/>
    </row>
    <row r="5" spans="1:6" x14ac:dyDescent="0.25">
      <c r="A5" s="13" t="s">
        <v>1</v>
      </c>
      <c r="B5" s="13"/>
      <c r="D5" s="12" t="s">
        <v>7</v>
      </c>
      <c r="E5" s="12"/>
    </row>
    <row r="7" spans="1:6" x14ac:dyDescent="0.25">
      <c r="A7" t="s">
        <v>2</v>
      </c>
      <c r="B7" s="8">
        <v>25000</v>
      </c>
      <c r="D7" s="4" t="s">
        <v>8</v>
      </c>
      <c r="E7" s="2">
        <f>B7*B8</f>
        <v>205332.27848101419</v>
      </c>
    </row>
    <row r="8" spans="1:6" x14ac:dyDescent="0.25">
      <c r="A8" t="s">
        <v>3</v>
      </c>
      <c r="B8" s="8">
        <v>8.2132911392405674</v>
      </c>
      <c r="D8" s="4" t="s">
        <v>9</v>
      </c>
      <c r="E8" s="2">
        <f>B7*-B9</f>
        <v>-68750</v>
      </c>
    </row>
    <row r="9" spans="1:6" x14ac:dyDescent="0.25">
      <c r="A9" t="s">
        <v>4</v>
      </c>
      <c r="B9" s="8">
        <v>2.75</v>
      </c>
      <c r="D9" s="3" t="s">
        <v>10</v>
      </c>
      <c r="E9" s="2">
        <f>SUM(E7:E8)</f>
        <v>136582.27848101419</v>
      </c>
    </row>
    <row r="10" spans="1:6" x14ac:dyDescent="0.25">
      <c r="A10" t="s">
        <v>5</v>
      </c>
      <c r="B10" s="9">
        <v>10000</v>
      </c>
      <c r="D10" s="4" t="s">
        <v>5</v>
      </c>
      <c r="E10" s="2">
        <f>-B10</f>
        <v>-10000</v>
      </c>
    </row>
    <row r="11" spans="1:6" x14ac:dyDescent="0.25">
      <c r="A11" t="s">
        <v>6</v>
      </c>
      <c r="B11" s="10">
        <v>0.21</v>
      </c>
      <c r="D11" s="4" t="s">
        <v>11</v>
      </c>
      <c r="E11" s="2">
        <f>SUM(E9:E10)</f>
        <v>126582.27848101419</v>
      </c>
    </row>
    <row r="12" spans="1:6" x14ac:dyDescent="0.25">
      <c r="D12" s="4" t="s">
        <v>13</v>
      </c>
      <c r="E12">
        <f>IF(E11&lt;0,"0",E11*-B11)</f>
        <v>-26582.278481012978</v>
      </c>
    </row>
    <row r="13" spans="1:6" x14ac:dyDescent="0.25">
      <c r="A13" s="7" t="s">
        <v>14</v>
      </c>
      <c r="D13" s="5" t="s">
        <v>12</v>
      </c>
      <c r="E13" s="6">
        <f>SUM(E12,E11)</f>
        <v>100000.00000000121</v>
      </c>
    </row>
    <row r="14" spans="1:6" x14ac:dyDescent="0.25">
      <c r="A14" t="s">
        <v>15</v>
      </c>
      <c r="B14" s="2">
        <v>100000</v>
      </c>
    </row>
    <row r="15" spans="1:6" x14ac:dyDescent="0.25">
      <c r="A15" t="s">
        <v>2</v>
      </c>
      <c r="B15">
        <v>25000</v>
      </c>
    </row>
    <row r="16" spans="1:6" x14ac:dyDescent="0.25">
      <c r="A16" t="s">
        <v>16</v>
      </c>
      <c r="B16">
        <v>9.99</v>
      </c>
    </row>
  </sheetData>
  <mergeCells count="3">
    <mergeCell ref="C1:E1"/>
    <mergeCell ref="D5:E5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S0088608</dc:creator>
  <cp:lastModifiedBy>S0088608</cp:lastModifiedBy>
  <dcterms:created xsi:type="dcterms:W3CDTF">2026-06-06T10:08:33Z</dcterms:created>
  <dcterms:modified xsi:type="dcterms:W3CDTF">2026-06-06T11:24:42Z</dcterms:modified>
</cp:coreProperties>
</file>