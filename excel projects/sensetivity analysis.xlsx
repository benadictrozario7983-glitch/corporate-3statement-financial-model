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8_{DAECF2A4-892D-4E41-BFDD-EBB2FFB8E70F}" xr6:coauthVersionLast="47" xr6:coauthVersionMax="47" xr10:uidLastSave="{00000000-0000-0000-0000-000000000000}"/>
  <bookViews>
    <workbookView xWindow="-120" yWindow="-120" windowWidth="20730" windowHeight="11040" xr2:uid="{2B7CEBE5-585E-4063-B5EF-9255F15D8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N4" i="1"/>
  <c r="K4" i="1"/>
  <c r="M4" i="1"/>
  <c r="E10" i="1"/>
  <c r="E8" i="1"/>
  <c r="E7" i="1"/>
  <c r="I8" i="1" l="1"/>
  <c r="I9" i="1" s="1"/>
  <c r="I6" i="1"/>
  <c r="I5" i="1" s="1"/>
  <c r="J4" i="1"/>
  <c r="E9" i="1"/>
  <c r="E11" i="1" s="1"/>
  <c r="E12" i="1" s="1"/>
  <c r="E13" i="1" s="1"/>
  <c r="I4" i="1" s="1"/>
</calcChain>
</file>

<file path=xl/sharedStrings.xml><?xml version="1.0" encoding="utf-8"?>
<sst xmlns="http://schemas.openxmlformats.org/spreadsheetml/2006/main" count="16" uniqueCount="15">
  <si>
    <t xml:space="preserve">       Assumptions</t>
  </si>
  <si>
    <t>Income statement</t>
  </si>
  <si>
    <t>unit sold</t>
  </si>
  <si>
    <t>Revenue</t>
  </si>
  <si>
    <t>price per unit</t>
  </si>
  <si>
    <t>COGS</t>
  </si>
  <si>
    <t>cost per unit</t>
  </si>
  <si>
    <t>Gross profit</t>
  </si>
  <si>
    <t>G&amp;A</t>
  </si>
  <si>
    <t xml:space="preserve">tax rate </t>
  </si>
  <si>
    <t>Earnings before tax</t>
  </si>
  <si>
    <t>Taxes</t>
  </si>
  <si>
    <t xml:space="preserve">Net income </t>
  </si>
  <si>
    <t>price and quantity sold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</si>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</sst>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3" fontId="0" fillId="0" borderId="0" xfId="0" applyNumberFormat="1"/>
    <xf numFmtId="0" fontId="0" fillId="0" borderId="0" xfId="0" applyAlignment="1">
      <alignment horizontal="center" vertical="top"/>
    </xf>
    <xf numFmtId="3" fontId="4" fillId="0" borderId="0" xfId="0" applyNumberFormat="1" applyFont="1"/>
    <xf numFmtId="9" fontId="4" fillId="0" borderId="0" xfId="0" applyNumberFormat="1" applyFont="1"/>
    <xf numFmtId="0" fontId="0" fillId="3" borderId="0" xfId="0" applyFill="1" applyAlignment="1">
      <alignment horizontal="center"/>
    </xf>
    <xf numFmtId="3" fontId="0" fillId="3" borderId="0" xfId="0" applyNumberForma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textRotation="45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2" fillId="0" borderId="0" xfId="0" applyFont="1" applyBorder="1" applyAlignment="1">
      <alignment textRotation="90"/>
    </xf>
    <xf numFmtId="0" fontId="0" fillId="0" borderId="0" xfId="0" applyBorder="1" applyAlignment="1">
      <alignment horizontal="right"/>
    </xf>
    <xf numFmtId="0" fontId="0" fillId="0" borderId="0" xfId="0" applyAlignment="1"/>
    <xf numFmtId="0" fontId="0" fillId="5" borderId="0" xfId="0" applyFill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E7E0E6-4511-417E-8452-59E8C5F3C3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1812-C959-4998-8087-8C58C0481856}">
  <dimension ref="A1:O15"/>
  <sheetViews>
    <sheetView showGridLines="0" tabSelected="1" workbookViewId="0">
      <selection activeCell="J18" sqref="J18"/>
    </sheetView>
  </sheetViews>
  <sheetFormatPr defaultRowHeight="15" x14ac:dyDescent="0.25"/>
  <cols>
    <col min="1" max="1" width="26.140625" customWidth="1"/>
    <col min="4" max="4" width="25.28515625" customWidth="1"/>
    <col min="12" max="12" width="9" customWidth="1"/>
  </cols>
  <sheetData>
    <row r="1" spans="1:15" x14ac:dyDescent="0.25">
      <c r="B1" s="1"/>
      <c r="C1" s="4" t="s">
        <v>14</v>
      </c>
      <c r="D1" s="4"/>
      <c r="E1" s="4"/>
      <c r="F1" s="1"/>
      <c r="J1" s="4" t="s">
        <v>13</v>
      </c>
      <c r="K1" s="4"/>
      <c r="L1" s="4"/>
      <c r="M1" s="4"/>
    </row>
    <row r="3" spans="1:15" x14ac:dyDescent="0.25">
      <c r="I3" s="14"/>
      <c r="J3" s="14"/>
      <c r="K3" s="14"/>
      <c r="L3" s="14"/>
      <c r="M3" s="14"/>
      <c r="N3" s="14"/>
    </row>
    <row r="4" spans="1:15" x14ac:dyDescent="0.25">
      <c r="A4" s="2"/>
      <c r="I4" s="6">
        <f>E13</f>
        <v>99935.000000000029</v>
      </c>
      <c r="J4">
        <f>K4-5000</f>
        <v>15000</v>
      </c>
      <c r="K4">
        <f>L4-5000</f>
        <v>20000</v>
      </c>
      <c r="L4" s="1">
        <v>25000</v>
      </c>
      <c r="M4">
        <f>L4+5000</f>
        <v>30000</v>
      </c>
      <c r="N4">
        <f>M4+5000</f>
        <v>35000</v>
      </c>
    </row>
    <row r="5" spans="1:15" x14ac:dyDescent="0.25">
      <c r="A5" s="3" t="s">
        <v>0</v>
      </c>
      <c r="B5" s="3"/>
      <c r="D5" s="4" t="s">
        <v>1</v>
      </c>
      <c r="E5" s="4"/>
      <c r="I5">
        <f>I6-1</f>
        <v>6.2100000000000009</v>
      </c>
      <c r="J5">
        <f t="dataTable" ref="J5:N9" dt2D="1" dtr="1" r1="B7" r2="B8" ca="1"/>
        <v>33101.000000000015</v>
      </c>
      <c r="K5" s="15">
        <v>46768.000000000015</v>
      </c>
      <c r="L5" s="15">
        <v>60435.000000000022</v>
      </c>
      <c r="M5" s="15">
        <v>74102.000000000029</v>
      </c>
      <c r="N5" s="15">
        <v>87769.000000000029</v>
      </c>
      <c r="O5" s="15"/>
    </row>
    <row r="6" spans="1:15" x14ac:dyDescent="0.25">
      <c r="H6" s="15"/>
      <c r="I6" s="15">
        <f>I7-1</f>
        <v>7.2100000000000009</v>
      </c>
      <c r="J6">
        <v>21251.000000000011</v>
      </c>
      <c r="K6" s="20">
        <v>30968.000000000011</v>
      </c>
      <c r="L6" s="20">
        <v>40685.000000000015</v>
      </c>
      <c r="M6" s="20">
        <v>50402.000000000022</v>
      </c>
      <c r="N6" s="15">
        <v>60119.000000000022</v>
      </c>
      <c r="O6" s="15"/>
    </row>
    <row r="7" spans="1:15" x14ac:dyDescent="0.25">
      <c r="A7" t="s">
        <v>2</v>
      </c>
      <c r="B7" s="5">
        <v>25000</v>
      </c>
      <c r="D7" s="1" t="s">
        <v>3</v>
      </c>
      <c r="E7" s="6">
        <f>B7*B8</f>
        <v>205250.00000000003</v>
      </c>
      <c r="H7" s="15"/>
      <c r="I7" s="15">
        <f>B8</f>
        <v>8.2100000000000009</v>
      </c>
      <c r="J7">
        <v>21251.000000000011</v>
      </c>
      <c r="K7" s="20">
        <v>30968.000000000011</v>
      </c>
      <c r="L7" s="22">
        <v>40685.000000000015</v>
      </c>
      <c r="M7" s="21">
        <v>50402.000000000022</v>
      </c>
      <c r="N7">
        <v>60119.000000000022</v>
      </c>
    </row>
    <row r="8" spans="1:15" x14ac:dyDescent="0.25">
      <c r="A8" t="s">
        <v>4</v>
      </c>
      <c r="B8" s="5">
        <v>8.2100000000000009</v>
      </c>
      <c r="D8" s="1" t="s">
        <v>5</v>
      </c>
      <c r="E8" s="6">
        <f>B7*-B9</f>
        <v>-68750</v>
      </c>
      <c r="H8" s="15"/>
      <c r="I8" s="18">
        <f>I7+1</f>
        <v>9.2100000000000009</v>
      </c>
      <c r="J8" s="18">
        <v>33101.000000000015</v>
      </c>
      <c r="K8" s="20">
        <v>46768.000000000015</v>
      </c>
      <c r="L8" s="21">
        <v>60435.000000000022</v>
      </c>
      <c r="M8" s="21">
        <v>74102.000000000029</v>
      </c>
      <c r="N8">
        <v>87769.000000000029</v>
      </c>
    </row>
    <row r="9" spans="1:15" x14ac:dyDescent="0.25">
      <c r="A9" t="s">
        <v>6</v>
      </c>
      <c r="B9" s="5">
        <v>2.75</v>
      </c>
      <c r="D9" s="7" t="s">
        <v>7</v>
      </c>
      <c r="E9" s="6">
        <f>SUM(E7:E8)</f>
        <v>136500.00000000003</v>
      </c>
      <c r="H9" s="17"/>
      <c r="I9" s="16">
        <f>I8+1</f>
        <v>10.210000000000001</v>
      </c>
      <c r="J9" s="19">
        <v>56801.000000000015</v>
      </c>
      <c r="K9" s="15">
        <v>78368.000000000029</v>
      </c>
      <c r="L9">
        <v>99935.000000000029</v>
      </c>
      <c r="M9">
        <v>121502.00000000003</v>
      </c>
      <c r="N9">
        <v>143069.00000000006</v>
      </c>
    </row>
    <row r="10" spans="1:15" x14ac:dyDescent="0.25">
      <c r="A10" t="s">
        <v>8</v>
      </c>
      <c r="B10" s="8">
        <v>10000</v>
      </c>
      <c r="D10" s="1" t="s">
        <v>8</v>
      </c>
      <c r="E10" s="6">
        <f>-B10</f>
        <v>-10000</v>
      </c>
      <c r="H10" s="15"/>
      <c r="I10" s="16"/>
      <c r="K10" s="15"/>
    </row>
    <row r="11" spans="1:15" x14ac:dyDescent="0.25">
      <c r="A11" t="s">
        <v>9</v>
      </c>
      <c r="B11" s="9">
        <v>0.21</v>
      </c>
      <c r="D11" s="1" t="s">
        <v>10</v>
      </c>
      <c r="E11" s="6">
        <f>SUM(E9:E10)</f>
        <v>126500.00000000003</v>
      </c>
      <c r="H11" s="15"/>
      <c r="I11" s="16"/>
      <c r="K11" s="15"/>
    </row>
    <row r="12" spans="1:15" x14ac:dyDescent="0.25">
      <c r="D12" s="1" t="s">
        <v>11</v>
      </c>
      <c r="E12">
        <f>IF(E11&lt;0,"0",E11*-B11)</f>
        <v>-26565.000000000004</v>
      </c>
      <c r="H12" s="15"/>
      <c r="I12" s="15"/>
      <c r="K12" s="15"/>
    </row>
    <row r="13" spans="1:15" x14ac:dyDescent="0.25">
      <c r="A13" s="12"/>
      <c r="D13" s="10" t="s">
        <v>12</v>
      </c>
      <c r="E13" s="11">
        <f>SUM(E12,E11)</f>
        <v>99935.000000000029</v>
      </c>
    </row>
    <row r="14" spans="1:15" x14ac:dyDescent="0.25">
      <c r="B14" s="6"/>
    </row>
    <row r="15" spans="1:15" x14ac:dyDescent="0.25">
      <c r="I15" s="13"/>
    </row>
  </sheetData>
  <mergeCells count="4">
    <mergeCell ref="J1:M1"/>
    <mergeCell ref="C1:E1"/>
    <mergeCell ref="A5:B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S0088608</dc:creator>
  <cp:lastModifiedBy>S0088608</cp:lastModifiedBy>
  <dcterms:created xsi:type="dcterms:W3CDTF">2026-06-06T11:25:11Z</dcterms:created>
  <dcterms:modified xsi:type="dcterms:W3CDTF">2026-06-06T12:47:11Z</dcterms:modified>
</cp:coreProperties>
</file>